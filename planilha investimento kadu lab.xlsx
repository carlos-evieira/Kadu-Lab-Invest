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253F67A9-942A-4A4E-8C46-D809784CB9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Ref.Investidores" sheetId="2" r:id="rId2"/>
  </sheets>
  <definedNames>
    <definedName name="aporte">Planilha1!$C$21:$C$21</definedName>
    <definedName name="patrimonio">Planilha1!$C$24:$C$24</definedName>
    <definedName name="qtd_anos">Planilha1!$C$22:$C$22</definedName>
    <definedName name="rendimento_carteira">Planilha1!$C$16:$C$16</definedName>
    <definedName name="sugestao_investimento">Planilha1!$C$17:$C$17</definedName>
    <definedName name="taxa_mensal">Planilha1!$C$23:$C$23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1" l="1"/>
  <c r="C44" i="1"/>
  <c r="C45" i="1"/>
  <c r="C46" i="1"/>
  <c r="C47" i="1"/>
  <c r="C48" i="1"/>
  <c r="C42" i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5" i="2"/>
  <c r="A6" i="2"/>
  <c r="A7" i="2"/>
  <c r="A8" i="2"/>
  <c r="A9" i="2"/>
  <c r="A10" i="2"/>
  <c r="A4" i="2"/>
  <c r="C49" i="1"/>
  <c r="C37" i="1"/>
  <c r="C24" i="1" a="1"/>
  <c r="C24" i="1"/>
  <c r="C25" i="1" s="1" a="1"/>
  <c r="C25" i="1" s="1"/>
  <c r="C17" i="1"/>
  <c r="C30" i="1"/>
  <c r="D30" i="1" s="1" a="1"/>
  <c r="D30" i="1" s="1"/>
  <c r="C31" i="1"/>
  <c r="D31" i="1" s="1" a="1"/>
  <c r="D31" i="1" s="1"/>
  <c r="C32" i="1"/>
  <c r="D32" i="1" s="1" a="1"/>
  <c r="D32" i="1" s="1"/>
  <c r="C33" i="1"/>
  <c r="D33" i="1" s="1" a="1"/>
  <c r="D33" i="1" s="1"/>
  <c r="C29" i="1"/>
  <c r="D29" i="1" s="1" a="1"/>
  <c r="D29" i="1" s="1"/>
  <c r="D43" i="1" l="1"/>
  <c r="D44" i="1"/>
  <c r="D45" i="1"/>
  <c r="D46" i="1"/>
  <c r="D47" i="1"/>
  <c r="D48" i="1"/>
  <c r="D42" i="1"/>
  <c r="D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<sst xmlns="http://schemas.openxmlformats.org/spreadsheetml/2006/main" count="79" uniqueCount="38">
  <si>
    <t>PREENCHA SOMENTE AS CÉLULAS AMARELAS</t>
  </si>
  <si>
    <t>CONFIGURAÇÕES</t>
  </si>
  <si>
    <t>Salário</t>
  </si>
  <si>
    <t>Taxa de Rendimento Carteira</t>
  </si>
  <si>
    <t>Sugestão de Investimento - (30% do Salário)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</si>
  <si>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</si>
  <si>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</si>
  <si>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</si>
  <si>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</si>
  <si>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</si>
  <si>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</si>
  <si>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</si>
  <si>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Div. Mensais</t>
  </si>
  <si>
    <t>Valor em 2 anos ?</t>
  </si>
  <si>
    <t>Valor em 5 anos ?</t>
  </si>
  <si>
    <t>Valor em 10 anos ?</t>
  </si>
  <si>
    <t>Valor em 20 anos ?</t>
  </si>
  <si>
    <t>Valor em 30 anos ?</t>
  </si>
  <si>
    <t>DEFINA SEU PERFIL DE INVESTIDOR</t>
  </si>
  <si>
    <t>Agressivo</t>
  </si>
  <si>
    <t>VALOR MENSAL INVESTIDO</t>
  </si>
  <si>
    <t>EM QUAIS SEGMENTOS VOCÊ DEVERIA APORTAR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</si>
  <si>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</si>
  <si>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</si>
  <si>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</si>
  <si>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</si>
  <si>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</si>
  <si>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</si>
  <si>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</si>
  <si>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</si>
  <si>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</t>
  </si>
  <si>
    <t>LOGISTICA</t>
  </si>
  <si>
    <t>TOTAL</t>
  </si>
  <si>
    <t>CHAVE</t>
  </si>
  <si>
    <t>PERFIL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</si>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</sst>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5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AC0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AD05"/>
        <bgColor indexed="64"/>
      </patternFill>
    </fill>
    <fill>
      <patternFill patternType="solid">
        <fgColor rgb="FFFFED9C"/>
        <bgColor indexed="64"/>
      </patternFill>
    </fill>
    <fill>
      <patternFill patternType="solid">
        <fgColor rgb="FFD69200"/>
        <bgColor indexed="64"/>
      </patternFill>
    </fill>
  </fills>
  <borders count="32">
    <border>
      <left/>
      <right/>
      <top/>
      <bottom/>
      <diagonal/>
    </border>
    <border>
      <left style="medium">
        <color rgb="FFFFAD05"/>
      </left>
      <right/>
      <top style="medium">
        <color rgb="FFFFAD05"/>
      </top>
      <bottom/>
      <diagonal/>
    </border>
    <border>
      <left/>
      <right style="medium">
        <color rgb="FFFFAD05"/>
      </right>
      <top style="medium">
        <color rgb="FFFFAD05"/>
      </top>
      <bottom/>
      <diagonal/>
    </border>
    <border>
      <left style="thin">
        <color theme="2" tint="-9.9978637043366805E-2"/>
      </left>
      <right style="medium">
        <color rgb="FFFFAD05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FFAD05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FFAD05"/>
      </left>
      <right style="medium">
        <color rgb="FFFFAD05"/>
      </right>
      <top style="medium">
        <color rgb="FFFFAD05"/>
      </top>
      <bottom/>
      <diagonal/>
    </border>
    <border>
      <left style="medium">
        <color rgb="FFFFAD05"/>
      </left>
      <right style="thin">
        <color theme="2"/>
      </right>
      <top style="thin">
        <color theme="2" tint="-9.9978637043366805E-2"/>
      </top>
      <bottom style="thin">
        <color theme="2"/>
      </bottom>
      <diagonal/>
    </border>
    <border>
      <left style="thin">
        <color theme="2"/>
      </left>
      <right style="medium">
        <color rgb="FFFFAD05"/>
      </right>
      <top style="thin">
        <color theme="2" tint="-9.9978637043366805E-2"/>
      </top>
      <bottom style="thin">
        <color theme="2"/>
      </bottom>
      <diagonal/>
    </border>
    <border>
      <left style="medium">
        <color rgb="FFFFAD05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FFAD05"/>
      </left>
      <right style="thin">
        <color theme="2"/>
      </right>
      <top style="thin">
        <color theme="2"/>
      </top>
      <bottom style="medium">
        <color rgb="FFFFAD05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rgb="FFFFAD05"/>
      </bottom>
      <diagonal/>
    </border>
    <border>
      <left style="thin">
        <color theme="2"/>
      </left>
      <right style="medium">
        <color rgb="FFFFAD05"/>
      </right>
      <top style="thin">
        <color theme="2"/>
      </top>
      <bottom style="medium">
        <color rgb="FFFFAD05"/>
      </bottom>
      <diagonal/>
    </border>
    <border>
      <left style="thin">
        <color rgb="FFFFAD05"/>
      </left>
      <right style="thin">
        <color rgb="FFFFAD05"/>
      </right>
      <top style="thin">
        <color rgb="FFFFAD05"/>
      </top>
      <bottom style="thin">
        <color rgb="FFFFAD05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medium">
        <color rgb="FFFFAD05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rgb="FFFFAD05"/>
      </right>
      <top style="thin">
        <color theme="2"/>
      </top>
      <bottom style="thin">
        <color theme="2"/>
      </bottom>
      <diagonal/>
    </border>
    <border>
      <left style="medium">
        <color rgb="FFFFAD05"/>
      </left>
      <right/>
      <top style="thin">
        <color theme="2"/>
      </top>
      <bottom style="medium">
        <color rgb="FFFFAD05"/>
      </bottom>
      <diagonal/>
    </border>
    <border>
      <left style="thin">
        <color theme="2"/>
      </left>
      <right/>
      <top style="thin">
        <color theme="2" tint="-9.9978637043366805E-2"/>
      </top>
      <bottom style="thin">
        <color theme="2"/>
      </bottom>
      <diagonal/>
    </border>
    <border>
      <left style="thin">
        <color theme="2"/>
      </left>
      <right style="medium">
        <color rgb="FFFFAD05"/>
      </right>
      <top/>
      <bottom style="medium">
        <color rgb="FFFFAD05"/>
      </bottom>
      <diagonal/>
    </border>
    <border>
      <left/>
      <right/>
      <top/>
      <bottom style="medium">
        <color rgb="FFFFAD05"/>
      </bottom>
      <diagonal/>
    </border>
    <border>
      <left style="thin">
        <color rgb="FFFFAD05"/>
      </left>
      <right style="thin">
        <color rgb="FFFFAD05"/>
      </right>
      <top style="thin">
        <color rgb="FFFFAD05"/>
      </top>
      <bottom/>
      <diagonal/>
    </border>
    <border>
      <left/>
      <right/>
      <top style="medium">
        <color rgb="FFFFAD05"/>
      </top>
      <bottom/>
      <diagonal/>
    </border>
    <border>
      <left style="medium">
        <color rgb="FFFFAD05"/>
      </left>
      <right style="thin">
        <color rgb="FFFFAD05"/>
      </right>
      <top style="thin">
        <color rgb="FFFFAD05"/>
      </top>
      <bottom style="thin">
        <color rgb="FFFFAD05"/>
      </bottom>
      <diagonal/>
    </border>
    <border>
      <left style="thin">
        <color rgb="FFFFAD05"/>
      </left>
      <right style="medium">
        <color rgb="FFFFAD05"/>
      </right>
      <top style="thin">
        <color rgb="FFFFAD05"/>
      </top>
      <bottom style="thin">
        <color rgb="FFFFAD05"/>
      </bottom>
      <diagonal/>
    </border>
    <border>
      <left style="medium">
        <color rgb="FFFFAD05"/>
      </left>
      <right style="thin">
        <color rgb="FFFFAD05"/>
      </right>
      <top style="thin">
        <color rgb="FFFFAD05"/>
      </top>
      <bottom/>
      <diagonal/>
    </border>
    <border>
      <left style="thin">
        <color rgb="FFFFAD05"/>
      </left>
      <right style="medium">
        <color rgb="FFFFAD05"/>
      </right>
      <top style="thin">
        <color rgb="FFFFAD05"/>
      </top>
      <bottom/>
      <diagonal/>
    </border>
    <border>
      <left style="medium">
        <color rgb="FFFFAD05"/>
      </left>
      <right style="thin">
        <color theme="2"/>
      </right>
      <top style="thin">
        <color rgb="FFFFAD05"/>
      </top>
      <bottom style="medium">
        <color rgb="FFFFAD05"/>
      </bottom>
      <diagonal/>
    </border>
    <border>
      <left style="thin">
        <color theme="2"/>
      </left>
      <right style="thin">
        <color theme="2"/>
      </right>
      <top style="thin">
        <color rgb="FFFFAD05"/>
      </top>
      <bottom style="medium">
        <color rgb="FFFFAD05"/>
      </bottom>
      <diagonal/>
    </border>
    <border>
      <left style="thin">
        <color theme="2"/>
      </left>
      <right style="medium">
        <color rgb="FFFFAD05"/>
      </right>
      <top style="thin">
        <color rgb="FFFFAD05"/>
      </top>
      <bottom style="medium">
        <color rgb="FFFFAD05"/>
      </bottom>
      <diagonal/>
    </border>
    <border>
      <left style="medium">
        <color rgb="FFFFAD05"/>
      </left>
      <right/>
      <top style="medium">
        <color rgb="FFFFAD05"/>
      </top>
      <bottom style="medium">
        <color rgb="FFFFAD05"/>
      </bottom>
      <diagonal/>
    </border>
    <border>
      <left/>
      <right/>
      <top style="medium">
        <color rgb="FFFFAD05"/>
      </top>
      <bottom style="medium">
        <color rgb="FFFFAD05"/>
      </bottom>
      <diagonal/>
    </border>
    <border>
      <left/>
      <right style="medium">
        <color rgb="FFFFAD05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1" fillId="0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3" borderId="6" xfId="0" applyFill="1" applyBorder="1"/>
    <xf numFmtId="0" fontId="0" fillId="3" borderId="8" xfId="0" applyFill="1" applyBorder="1"/>
    <xf numFmtId="0" fontId="4" fillId="3" borderId="9" xfId="0" applyFont="1" applyFill="1" applyBorder="1"/>
    <xf numFmtId="0" fontId="0" fillId="3" borderId="9" xfId="0" applyFill="1" applyBorder="1"/>
    <xf numFmtId="0" fontId="0" fillId="3" borderId="14" xfId="0" applyFill="1" applyBorder="1"/>
    <xf numFmtId="0" fontId="0" fillId="3" borderId="16" xfId="0" applyFill="1" applyBorder="1"/>
    <xf numFmtId="0" fontId="0" fillId="3" borderId="0" xfId="0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4" borderId="0" xfId="0" applyFill="1"/>
    <xf numFmtId="164" fontId="5" fillId="5" borderId="15" xfId="0" applyNumberFormat="1" applyFont="1" applyFill="1" applyBorder="1" applyAlignment="1">
      <alignment horizontal="center"/>
    </xf>
    <xf numFmtId="10" fontId="5" fillId="5" borderId="15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10" fontId="2" fillId="5" borderId="4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64" fontId="0" fillId="3" borderId="11" xfId="0" applyNumberFormat="1" applyFont="1" applyFill="1" applyBorder="1" applyAlignment="1">
      <alignment horizontal="center"/>
    </xf>
    <xf numFmtId="8" fontId="0" fillId="3" borderId="7" xfId="0" applyNumberFormat="1" applyFont="1" applyFill="1" applyBorder="1" applyAlignment="1">
      <alignment horizontal="center"/>
    </xf>
    <xf numFmtId="8" fontId="0" fillId="3" borderId="11" xfId="0" applyNumberFormat="1" applyFont="1" applyFill="1" applyBorder="1" applyAlignment="1">
      <alignment horizontal="center"/>
    </xf>
    <xf numFmtId="8" fontId="0" fillId="3" borderId="17" xfId="0" applyNumberFormat="1" applyFont="1" applyFill="1" applyBorder="1" applyAlignment="1">
      <alignment horizontal="center"/>
    </xf>
    <xf numFmtId="8" fontId="0" fillId="3" borderId="15" xfId="0" applyNumberFormat="1" applyFont="1" applyFill="1" applyBorder="1" applyAlignment="1">
      <alignment horizontal="center"/>
    </xf>
    <xf numFmtId="8" fontId="0" fillId="3" borderId="13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64" fontId="4" fillId="3" borderId="18" xfId="0" applyNumberFormat="1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4" borderId="0" xfId="0" applyFont="1" applyFill="1"/>
    <xf numFmtId="0" fontId="0" fillId="0" borderId="0" xfId="0" applyFill="1"/>
    <xf numFmtId="164" fontId="0" fillId="0" borderId="0" xfId="0" applyNumberFormat="1" applyFill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9" fontId="6" fillId="3" borderId="27" xfId="0" applyNumberFormat="1" applyFont="1" applyFill="1" applyBorder="1" applyAlignment="1">
      <alignment horizontal="center"/>
    </xf>
    <xf numFmtId="164" fontId="6" fillId="3" borderId="28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164" fontId="8" fillId="5" borderId="13" xfId="0" applyNumberFormat="1" applyFont="1" applyFill="1" applyBorder="1" applyAlignment="1">
      <alignment horizontal="center" vertical="center"/>
    </xf>
    <xf numFmtId="164" fontId="8" fillId="5" borderId="3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69200"/>
      <color rgb="FFEDA200"/>
      <color rgb="FFFDAC02"/>
      <color rgb="FFFFAD05"/>
      <color rgb="FFFFED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1A-4CC0-BF77-7045B0A234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1A-4CC0-BF77-7045B0A234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1A-4CC0-BF77-7045B0A234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1A-4CC0-BF77-7045B0A234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1A-4CC0-BF77-7045B0A234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1A-4CC0-BF77-7045B0A234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1A-4CC0-BF77-7045B0A234DA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Planilha1!$B$42:$B$48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LOGISTICA</c:v>
                </c:pt>
              </c:strCache>
            </c:strRef>
          </c:cat>
          <c:val>
            <c:numRef>
              <c:f>Planilha1!$C$42:$C$48</c:f>
              <c:numCache>
                <c:formatCode>0%</c:formatCode>
                <c:ptCount val="7"/>
                <c:pt idx="0">
                  <c:v>0.4</c:v>
                </c:pt>
                <c:pt idx="1">
                  <c:v>0.2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9-4F71-AFE2-708685A417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21184510250569477"/>
          <c:y val="0.24678262484070521"/>
          <c:w val="0.1647184306973018"/>
          <c:h val="0.57907452886717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14</xdr:row>
      <xdr:rowOff>76200</xdr:rowOff>
    </xdr:from>
    <xdr:to>
      <xdr:col>2</xdr:col>
      <xdr:colOff>190500</xdr:colOff>
      <xdr:row>14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7247B9-BF26-24D5-E85A-C8EED9878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4726" b="22945"/>
        <a:stretch>
          <a:fillRect/>
        </a:stretch>
      </xdr:blipFill>
      <xdr:spPr>
        <a:xfrm rot="23274">
          <a:off x="3924300" y="2438400"/>
          <a:ext cx="1809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4</xdr:col>
      <xdr:colOff>85725</xdr:colOff>
      <xdr:row>9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13662C-1F6E-9D10-A0FD-77D219195E8F}"/>
            </a:ext>
            <a:ext uri="{147F2762-F138-4A5C-976F-8EAC2B608ADB}">
              <a16:predDERef xmlns:a16="http://schemas.microsoft.com/office/drawing/2014/main" pred="{697247B9-BF26-24D5-E85A-C8EED9878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4076" b="22462"/>
        <a:stretch>
          <a:fillRect/>
        </a:stretch>
      </xdr:blipFill>
      <xdr:spPr>
        <a:xfrm>
          <a:off x="57150" y="0"/>
          <a:ext cx="8639175" cy="1800225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49</xdr:row>
      <xdr:rowOff>76200</xdr:rowOff>
    </xdr:from>
    <xdr:to>
      <xdr:col>3</xdr:col>
      <xdr:colOff>1066800</xdr:colOff>
      <xdr:row>64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2F37C9-3CFE-E52B-3571-AF5F8D19E8D1}"/>
            </a:ext>
            <a:ext uri="{147F2762-F138-4A5C-976F-8EAC2B608ADB}">
              <a16:predDERef xmlns:a16="http://schemas.microsoft.com/office/drawing/2014/main" pred="{4F13662C-1F6E-9D10-A0FD-77D219195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11</xdr:row>
      <xdr:rowOff>76200</xdr:rowOff>
    </xdr:from>
    <xdr:to>
      <xdr:col>1</xdr:col>
      <xdr:colOff>190500</xdr:colOff>
      <xdr:row>11</xdr:row>
      <xdr:rowOff>76200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73FD1393-B596-4D62-8DD3-31BEF35B296C}"/>
            </a:ext>
            <a:ext uri="{147F2762-F138-4A5C-976F-8EAC2B608ADB}">
              <a16:predDERef xmlns:a16="http://schemas.microsoft.com/office/drawing/2014/main" pred="{322F37C9-3CFE-E52B-3571-AF5F8D19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4726" b="22945"/>
        <a:stretch>
          <a:fillRect/>
        </a:stretch>
      </xdr:blipFill>
      <xdr:spPr>
        <a:xfrm rot="23274">
          <a:off x="3924300" y="2819400"/>
          <a:ext cx="180975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</xdr:row>
      <xdr:rowOff>76200</xdr:rowOff>
    </xdr:from>
    <xdr:to>
      <xdr:col>2</xdr:col>
      <xdr:colOff>190500</xdr:colOff>
      <xdr:row>11</xdr:row>
      <xdr:rowOff>76200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B3987EA6-D923-4CB7-82D2-E221AEA4D531}"/>
            </a:ext>
            <a:ext uri="{147F2762-F138-4A5C-976F-8EAC2B608ADB}">
              <a16:predDERef xmlns:a16="http://schemas.microsoft.com/office/drawing/2014/main" pred="{73FD1393-B596-4D62-8DD3-31BEF35B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4726" b="22945"/>
        <a:stretch>
          <a:fillRect/>
        </a:stretch>
      </xdr:blipFill>
      <xdr:spPr>
        <a:xfrm rot="23274">
          <a:off x="228600" y="2171700"/>
          <a:ext cx="18097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I49"/>
  <sheetViews>
    <sheetView showGridLines="0" showRowColHeaders="0" tabSelected="1" workbookViewId="0">
      <selection activeCell="C36" sqref="C36"/>
    </sheetView>
  </sheetViews>
  <sheetFormatPr defaultColWidth="0" defaultRowHeight="15"/>
  <cols>
    <col min="1" max="1" width="3.28515625" bestFit="1" customWidth="1"/>
    <col min="2" max="2" width="55.42578125" customWidth="1"/>
    <col min="3" max="3" width="53.85546875" customWidth="1"/>
    <col min="4" max="4" width="16.5703125" bestFit="1" customWidth="1"/>
    <col min="5" max="5" width="23.42578125" bestFit="1" customWidth="1"/>
    <col min="6" max="6" width="16" hidden="1" customWidth="1"/>
    <col min="7" max="7" width="11.42578125" hidden="1" customWidth="1"/>
    <col min="8" max="9" width="9.140625" hidden="1" customWidth="1"/>
  </cols>
  <sheetData>
    <row r="12" spans="2:3" ht="19.5">
      <c r="B12" s="55" t="s">
        <v>0</v>
      </c>
      <c r="C12" s="56"/>
    </row>
    <row r="14" spans="2:3" ht="21">
      <c r="B14" s="50" t="s">
        <v>1</v>
      </c>
      <c r="C14" s="3"/>
    </row>
    <row r="15" spans="2:3">
      <c r="B15" s="8" t="s">
        <v>2</v>
      </c>
      <c r="C15" s="20">
        <v>10000</v>
      </c>
    </row>
    <row r="16" spans="2:3">
      <c r="B16" s="8" t="s">
        <v>3</v>
      </c>
      <c r="C16" s="21">
        <v>0.02</v>
      </c>
    </row>
    <row r="17" spans="1:8">
      <c r="B17" s="9" t="s">
        <v>4</v>
      </c>
      <c r="C17" s="26">
        <f>C15*30%</f>
        <v>3000</v>
      </c>
    </row>
    <row r="20" spans="1:8" ht="30.75" customHeight="1">
      <c r="B20" s="51" t="s">
        <v>5</v>
      </c>
      <c r="C20" s="52"/>
      <c r="H20" s="2"/>
    </row>
    <row r="21" spans="1:8">
      <c r="B21" s="8" t="s">
        <v>6</v>
      </c>
      <c r="C21" s="22">
        <v>500</v>
      </c>
    </row>
    <row r="22" spans="1:8">
      <c r="B22" s="8" t="s">
        <v>7</v>
      </c>
      <c r="C22" s="23">
        <v>5</v>
      </c>
    </row>
    <row r="23" spans="1:8">
      <c r="B23" s="8" t="s">
        <v>8</v>
      </c>
      <c r="C23" s="24">
        <v>1.0789999999999999E-2</v>
      </c>
    </row>
    <row r="24" spans="1:8">
      <c r="B24" s="8" t="s">
        <v>9</v>
      </c>
      <c r="C24" s="27" cm="1">
        <f t="array" ref="C24">FV(taxa_mensal,qtd_anos*12,aporte*-1)</f>
        <v>41888.456999243819</v>
      </c>
    </row>
    <row r="25" spans="1:8">
      <c r="B25" s="7" t="s">
        <v>10</v>
      </c>
      <c r="C25" s="28" cm="1">
        <f t="array" ref="C25">patrimonio*rendimento_carteira</f>
        <v>837.76913998487635</v>
      </c>
    </row>
    <row r="28" spans="1:8" ht="21">
      <c r="B28" s="51" t="s">
        <v>11</v>
      </c>
      <c r="C28" s="52"/>
      <c r="D28" s="3" t="s">
        <v>12</v>
      </c>
      <c r="E28" s="2"/>
    </row>
    <row r="29" spans="1:8">
      <c r="B29" s="4" t="s">
        <v>13</v>
      </c>
      <c r="C29" s="29">
        <f>FV($C$23,$A30*12,$C$21*-1)</f>
        <v>13613.813648822608</v>
      </c>
      <c r="D29" s="30" cm="1">
        <f t="array" ref="D29">C29*rendimento_carteira</f>
        <v>272.27627297645216</v>
      </c>
    </row>
    <row r="30" spans="1:8">
      <c r="A30" s="1">
        <v>2</v>
      </c>
      <c r="B30" s="5" t="s">
        <v>14</v>
      </c>
      <c r="C30" s="31">
        <f>FV($C$23,$A31*12,$C$21*-1)</f>
        <v>41888.456999243819</v>
      </c>
      <c r="D30" s="30" cm="1">
        <f t="array" ref="D30">C30*rendimento_carteira</f>
        <v>837.76913998487635</v>
      </c>
    </row>
    <row r="31" spans="1:8">
      <c r="A31" s="1">
        <v>5</v>
      </c>
      <c r="B31" s="5" t="s">
        <v>15</v>
      </c>
      <c r="C31" s="31">
        <f>FV($C$23,$A32*12,$C$21*-1)</f>
        <v>121642.1062650861</v>
      </c>
      <c r="D31" s="30" cm="1">
        <f t="array" ref="D31">C31*rendimento_carteira</f>
        <v>2432.8421253017218</v>
      </c>
    </row>
    <row r="32" spans="1:8">
      <c r="A32" s="1">
        <v>10</v>
      </c>
      <c r="B32" s="5" t="s">
        <v>16</v>
      </c>
      <c r="C32" s="31">
        <f>FV($C$23,$A33*12,$C$21*-1)</f>
        <v>562599.20004854025</v>
      </c>
      <c r="D32" s="30" cm="1">
        <f t="array" ref="D32">C32*rendimento_carteira</f>
        <v>11251.984000970806</v>
      </c>
    </row>
    <row r="33" spans="1:4">
      <c r="A33" s="1">
        <v>20</v>
      </c>
      <c r="B33" s="6" t="s">
        <v>17</v>
      </c>
      <c r="C33" s="32">
        <f>FV($C$23,$A34*12,$C$21*-1)</f>
        <v>2161084.8275023573</v>
      </c>
      <c r="D33" s="33" cm="1">
        <f t="array" ref="D33">C33*rendimento_carteira</f>
        <v>43221.696550047149</v>
      </c>
    </row>
    <row r="34" spans="1:4">
      <c r="A34" s="1">
        <v>30</v>
      </c>
    </row>
    <row r="36" spans="1:4" ht="21">
      <c r="B36" s="35" t="s">
        <v>18</v>
      </c>
      <c r="C36" s="25" t="s">
        <v>19</v>
      </c>
      <c r="D36" s="19"/>
    </row>
    <row r="37" spans="1:4">
      <c r="B37" s="10" t="s">
        <v>20</v>
      </c>
      <c r="C37" s="34">
        <f>C21</f>
        <v>500</v>
      </c>
      <c r="D37" s="10"/>
    </row>
    <row r="38" spans="1:4">
      <c r="B38" s="36"/>
      <c r="C38" s="37"/>
      <c r="D38" s="36"/>
    </row>
    <row r="39" spans="1:4">
      <c r="B39" s="36"/>
      <c r="C39" s="37"/>
      <c r="D39" s="36"/>
    </row>
    <row r="40" spans="1:4" ht="21">
      <c r="B40" s="53" t="s">
        <v>21</v>
      </c>
      <c r="C40" s="54"/>
      <c r="D40" s="54"/>
    </row>
    <row r="41" spans="1:4" ht="15.75">
      <c r="B41" s="47" t="s">
        <v>22</v>
      </c>
      <c r="C41" s="48" t="s">
        <v>23</v>
      </c>
      <c r="D41" s="49" t="s">
        <v>24</v>
      </c>
    </row>
    <row r="42" spans="1:4">
      <c r="B42" s="40" t="s">
        <v>25</v>
      </c>
      <c r="C42" s="38">
        <f>VLOOKUP($C$36&amp;"_"&amp;B42,'Ref.Investidores'!$A:$D,4,FALSE)</f>
        <v>0.4</v>
      </c>
      <c r="D42" s="41">
        <f>$C$37*C42</f>
        <v>200</v>
      </c>
    </row>
    <row r="43" spans="1:4">
      <c r="B43" s="40" t="s">
        <v>26</v>
      </c>
      <c r="C43" s="38">
        <f>VLOOKUP($C$36&amp;"_"&amp;B43,'Ref.Investidores'!$A:$D,4,FALSE)</f>
        <v>0.2</v>
      </c>
      <c r="D43" s="41">
        <f t="shared" ref="D43:D48" si="0">$C$37*C43</f>
        <v>100</v>
      </c>
    </row>
    <row r="44" spans="1:4">
      <c r="B44" s="40" t="s">
        <v>27</v>
      </c>
      <c r="C44" s="38">
        <f>VLOOKUP($C$36&amp;"_"&amp;B44,'Ref.Investidores'!$A:$D,4,FALSE)</f>
        <v>0.05</v>
      </c>
      <c r="D44" s="41">
        <f t="shared" si="0"/>
        <v>25</v>
      </c>
    </row>
    <row r="45" spans="1:4">
      <c r="B45" s="40" t="s">
        <v>28</v>
      </c>
      <c r="C45" s="38">
        <f>VLOOKUP($C$36&amp;"_"&amp;B45,'Ref.Investidores'!$A:$D,4,FALSE)</f>
        <v>0.05</v>
      </c>
      <c r="D45" s="41">
        <f t="shared" si="0"/>
        <v>25</v>
      </c>
    </row>
    <row r="46" spans="1:4">
      <c r="B46" s="40" t="s">
        <v>29</v>
      </c>
      <c r="C46" s="38">
        <f>VLOOKUP($C$36&amp;"_"&amp;B46,'Ref.Investidores'!$A:$D,4,FALSE)</f>
        <v>0.05</v>
      </c>
      <c r="D46" s="41">
        <f t="shared" si="0"/>
        <v>25</v>
      </c>
    </row>
    <row r="47" spans="1:4">
      <c r="B47" s="40" t="s">
        <v>30</v>
      </c>
      <c r="C47" s="38">
        <f>VLOOKUP($C$36&amp;"_"&amp;B47,'Ref.Investidores'!$A:$D,4,FALSE)</f>
        <v>0.05</v>
      </c>
      <c r="D47" s="41">
        <f t="shared" si="0"/>
        <v>25</v>
      </c>
    </row>
    <row r="48" spans="1:4">
      <c r="B48" s="42" t="s">
        <v>31</v>
      </c>
      <c r="C48" s="39">
        <f>VLOOKUP($C$36&amp;"_"&amp;B48,'Ref.Investidores'!$A:$D,4,FALSE)</f>
        <v>0.2</v>
      </c>
      <c r="D48" s="43">
        <f t="shared" si="0"/>
        <v>100</v>
      </c>
    </row>
    <row r="49" spans="2:4">
      <c r="B49" s="44" t="s">
        <v>32</v>
      </c>
      <c r="C49" s="45">
        <f>SUM(C42:C48)</f>
        <v>1.0000000000000002</v>
      </c>
      <c r="D49" s="46">
        <f>SUM(D42:D48)</f>
        <v>500</v>
      </c>
    </row>
  </sheetData>
  <mergeCells count="4">
    <mergeCell ref="B20:C20"/>
    <mergeCell ref="B28:C28"/>
    <mergeCell ref="B40:D40"/>
    <mergeCell ref="B12:C12"/>
  </mergeCells>
  <dataValidations count="1">
    <dataValidation type="list" allowBlank="1" showInputMessage="1" showErrorMessage="1" sqref="C36" xr:uid="{3CF0AC92-273E-462D-9028-77FFC4ADC728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566F-4EE1-427E-BF17-8A6A30259300}">
  <dimension ref="A3:D24"/>
  <sheetViews>
    <sheetView workbookViewId="0">
      <selection activeCell="A3" sqref="A3:D24"/>
    </sheetView>
  </sheetViews>
  <sheetFormatPr defaultRowHeight="15"/>
  <cols>
    <col min="1" max="1" width="31.28515625" bestFit="1" customWidth="1"/>
    <col min="2" max="2" width="17.28515625" customWidth="1"/>
    <col min="3" max="3" width="19" bestFit="1" customWidth="1"/>
  </cols>
  <sheetData>
    <row r="3" spans="1:4">
      <c r="A3" t="s">
        <v>33</v>
      </c>
      <c r="B3" t="s">
        <v>34</v>
      </c>
      <c r="C3" s="11" t="s">
        <v>22</v>
      </c>
      <c r="D3" t="s">
        <v>35</v>
      </c>
    </row>
    <row r="4" spans="1:4">
      <c r="A4" s="13" t="str">
        <f>B4&amp;"_"&amp;C4</f>
        <v>Conservador_PAPEL</v>
      </c>
      <c r="B4" s="13" t="s">
        <v>36</v>
      </c>
      <c r="C4" s="14" t="s">
        <v>25</v>
      </c>
      <c r="D4" s="15">
        <v>0.2</v>
      </c>
    </row>
    <row r="5" spans="1:4">
      <c r="A5" s="13" t="str">
        <f t="shared" ref="A5:A24" si="0">B5&amp;"_"&amp;C5</f>
        <v>Conservador_TIJOLO</v>
      </c>
      <c r="B5" s="13" t="s">
        <v>36</v>
      </c>
      <c r="C5" s="14" t="s">
        <v>26</v>
      </c>
      <c r="D5" s="15">
        <v>0.4</v>
      </c>
    </row>
    <row r="6" spans="1:4">
      <c r="A6" s="13" t="str">
        <f t="shared" si="0"/>
        <v>Conservador_HIBRIDOS</v>
      </c>
      <c r="B6" s="13" t="s">
        <v>36</v>
      </c>
      <c r="C6" s="14" t="s">
        <v>27</v>
      </c>
      <c r="D6" s="15">
        <v>0.1</v>
      </c>
    </row>
    <row r="7" spans="1:4">
      <c r="A7" s="13" t="str">
        <f t="shared" si="0"/>
        <v>Conservador_FOFS</v>
      </c>
      <c r="B7" s="13" t="s">
        <v>36</v>
      </c>
      <c r="C7" s="14" t="s">
        <v>28</v>
      </c>
      <c r="D7" s="15">
        <v>0.1</v>
      </c>
    </row>
    <row r="8" spans="1:4">
      <c r="A8" s="13" t="str">
        <f t="shared" si="0"/>
        <v>Conservador_DESENVOLVIMENTO</v>
      </c>
      <c r="B8" s="13" t="s">
        <v>36</v>
      </c>
      <c r="C8" s="14" t="s">
        <v>29</v>
      </c>
      <c r="D8" s="15">
        <v>0</v>
      </c>
    </row>
    <row r="9" spans="1:4">
      <c r="A9" s="13" t="str">
        <f t="shared" si="0"/>
        <v>Conservador_HOTELARIA</v>
      </c>
      <c r="B9" s="13" t="s">
        <v>36</v>
      </c>
      <c r="C9" s="14" t="s">
        <v>30</v>
      </c>
      <c r="D9" s="15">
        <v>0</v>
      </c>
    </row>
    <row r="10" spans="1:4">
      <c r="A10" s="16" t="str">
        <f t="shared" si="0"/>
        <v>Conservador_LOGISTICA</v>
      </c>
      <c r="B10" s="16" t="s">
        <v>36</v>
      </c>
      <c r="C10" s="17" t="s">
        <v>31</v>
      </c>
      <c r="D10" s="18">
        <v>0.2</v>
      </c>
    </row>
    <row r="11" spans="1:4">
      <c r="A11" s="13" t="str">
        <f t="shared" si="0"/>
        <v>Moderado_PAPEL</v>
      </c>
      <c r="B11" s="13" t="s">
        <v>37</v>
      </c>
      <c r="C11" s="14" t="s">
        <v>25</v>
      </c>
      <c r="D11" s="15">
        <v>0.3</v>
      </c>
    </row>
    <row r="12" spans="1:4">
      <c r="A12" s="13" t="str">
        <f t="shared" si="0"/>
        <v>Moderado_TIJOLO</v>
      </c>
      <c r="B12" s="13" t="s">
        <v>37</v>
      </c>
      <c r="C12" s="14" t="s">
        <v>26</v>
      </c>
      <c r="D12" s="15">
        <v>0.3</v>
      </c>
    </row>
    <row r="13" spans="1:4">
      <c r="A13" s="13" t="str">
        <f t="shared" si="0"/>
        <v>Moderado_HIBRIDOS</v>
      </c>
      <c r="B13" s="13" t="s">
        <v>37</v>
      </c>
      <c r="C13" s="14" t="s">
        <v>27</v>
      </c>
      <c r="D13" s="15">
        <v>0.1</v>
      </c>
    </row>
    <row r="14" spans="1:4">
      <c r="A14" s="13" t="str">
        <f t="shared" si="0"/>
        <v>Moderado_FOFS</v>
      </c>
      <c r="B14" s="13" t="s">
        <v>37</v>
      </c>
      <c r="C14" s="14" t="s">
        <v>28</v>
      </c>
      <c r="D14" s="15">
        <v>0.1</v>
      </c>
    </row>
    <row r="15" spans="1:4">
      <c r="A15" s="13" t="str">
        <f t="shared" si="0"/>
        <v>Moderado_DESENVOLVIMENTO</v>
      </c>
      <c r="B15" s="13" t="s">
        <v>37</v>
      </c>
      <c r="C15" s="14" t="s">
        <v>29</v>
      </c>
      <c r="D15" s="15">
        <v>0.05</v>
      </c>
    </row>
    <row r="16" spans="1:4">
      <c r="A16" s="13" t="str">
        <f t="shared" si="0"/>
        <v>Moderado_HOTELARIA</v>
      </c>
      <c r="B16" s="13" t="s">
        <v>37</v>
      </c>
      <c r="C16" s="14" t="s">
        <v>30</v>
      </c>
      <c r="D16" s="15">
        <v>0.05</v>
      </c>
    </row>
    <row r="17" spans="1:4">
      <c r="A17" s="16" t="str">
        <f t="shared" si="0"/>
        <v>Moderado_LOGISTICA</v>
      </c>
      <c r="B17" s="16" t="s">
        <v>37</v>
      </c>
      <c r="C17" s="17" t="s">
        <v>31</v>
      </c>
      <c r="D17" s="18">
        <v>0.1</v>
      </c>
    </row>
    <row r="18" spans="1:4">
      <c r="A18" t="str">
        <f t="shared" si="0"/>
        <v>Agressivo_PAPEL</v>
      </c>
      <c r="B18" t="s">
        <v>19</v>
      </c>
      <c r="C18" s="11" t="s">
        <v>25</v>
      </c>
      <c r="D18" s="12">
        <v>0.4</v>
      </c>
    </row>
    <row r="19" spans="1:4">
      <c r="A19" t="str">
        <f t="shared" si="0"/>
        <v>Agressivo_TIJOLO</v>
      </c>
      <c r="B19" t="s">
        <v>19</v>
      </c>
      <c r="C19" s="11" t="s">
        <v>26</v>
      </c>
      <c r="D19" s="12">
        <v>0.2</v>
      </c>
    </row>
    <row r="20" spans="1:4">
      <c r="A20" t="str">
        <f t="shared" si="0"/>
        <v>Agressivo_HIBRIDOS</v>
      </c>
      <c r="B20" t="s">
        <v>19</v>
      </c>
      <c r="C20" s="11" t="s">
        <v>27</v>
      </c>
      <c r="D20" s="12">
        <v>0.05</v>
      </c>
    </row>
    <row r="21" spans="1:4">
      <c r="A21" t="str">
        <f t="shared" si="0"/>
        <v>Agressivo_FOFS</v>
      </c>
      <c r="B21" t="s">
        <v>19</v>
      </c>
      <c r="C21" s="11" t="s">
        <v>28</v>
      </c>
      <c r="D21" s="12">
        <v>0.05</v>
      </c>
    </row>
    <row r="22" spans="1:4">
      <c r="A22" t="str">
        <f t="shared" si="0"/>
        <v>Agressivo_DESENVOLVIMENTO</v>
      </c>
      <c r="B22" t="s">
        <v>19</v>
      </c>
      <c r="C22" s="11" t="s">
        <v>29</v>
      </c>
      <c r="D22" s="12">
        <v>0.05</v>
      </c>
    </row>
    <row r="23" spans="1:4">
      <c r="A23" t="str">
        <f t="shared" si="0"/>
        <v>Agressivo_HOTELARIA</v>
      </c>
      <c r="B23" t="s">
        <v>19</v>
      </c>
      <c r="C23" s="11" t="s">
        <v>30</v>
      </c>
      <c r="D23" s="12">
        <v>0.05</v>
      </c>
    </row>
    <row r="24" spans="1:4">
      <c r="A24" t="str">
        <f t="shared" si="0"/>
        <v>Agressivo_LOGISTICA</v>
      </c>
      <c r="B24" t="s">
        <v>19</v>
      </c>
      <c r="C24" s="11" t="s">
        <v>31</v>
      </c>
      <c r="D24" s="1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2026-09-13T22:55:18Z</dcterms:created>
  <dcterms:modified xsi:type="dcterms:W3CDTF">2026-09-20T20:00:23Z</dcterms:modified>
  <cp:category/>
  <cp:contentStatus/>
</cp:coreProperties>
</file>